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Dziennik" state="visible" r:id="rId4"/>
    <sheet sheetId="2" name="📈 Statystyki" state="visible" r:id="rId5"/>
    <sheet sheetId="3" name="📅 Tygodnik" state="visible" r:id="rId6"/>
    <sheet sheetId="4" name="📝 Setupy" state="visible" r:id="rId7"/>
  </sheets>
  <calcPr calcId="171027"/>
</workbook>
</file>

<file path=xl/sharedStrings.xml><?xml version="1.0" encoding="utf-8"?>
<sst xmlns="http://schemas.openxmlformats.org/spreadsheetml/2006/main" count="69" uniqueCount="64">
  <si>
    <t>📊  DZIENNIK TRADERA</t>
  </si>
  <si>
    <t>ID / DATA</t>
  </si>
  <si>
    <t>INSTRUMENT</t>
  </si>
  <si>
    <t>SETUP</t>
  </si>
  <si>
    <t>CENY</t>
  </si>
  <si>
    <t>ZARZĄDZANIE RYZYKIEM</t>
  </si>
  <si>
    <t>WYNIK</t>
  </si>
  <si>
    <t>PSYCHOLOGIA</t>
  </si>
  <si>
    <t>Nr</t>
  </si>
  <si>
    <t>Data</t>
  </si>
  <si>
    <t>Godz.</t>
  </si>
  <si>
    <t>Instrument</t>
  </si>
  <si>
    <t>Kier.</t>
  </si>
  <si>
    <t>TF</t>
  </si>
  <si>
    <t>Setup</t>
  </si>
  <si>
    <t>Entry</t>
  </si>
  <si>
    <t>Stop Loss</t>
  </si>
  <si>
    <t>Take Profit</t>
  </si>
  <si>
    <t>Exit</t>
  </si>
  <si>
    <t>Rozmiar</t>
  </si>
  <si>
    <t>Ryzyko%</t>
  </si>
  <si>
    <t>R:R plan</t>
  </si>
  <si>
    <t>R:R real</t>
  </si>
  <si>
    <t>Wynik R</t>
  </si>
  <si>
    <t>Wynik $</t>
  </si>
  <si>
    <t>Plan?</t>
  </si>
  <si>
    <t>Emocje</t>
  </si>
  <si>
    <t>Uwagi</t>
  </si>
  <si>
    <t>📈  STATYSTYKI KONTA</t>
  </si>
  <si>
    <t>Metryka</t>
  </si>
  <si>
    <t>Wartość</t>
  </si>
  <si>
    <t>Liczba transakcji</t>
  </si>
  <si>
    <t>Transakcje LONG</t>
  </si>
  <si>
    <t>Transakcje SHORT</t>
  </si>
  <si>
    <t>Zyskowne (R &gt; 0)</t>
  </si>
  <si>
    <t>Stratne (R &lt; 0)</t>
  </si>
  <si>
    <t>Win Rate</t>
  </si>
  <si>
    <t>Średni zysk (R)</t>
  </si>
  <si>
    <t>Średnia strata (R)</t>
  </si>
  <si>
    <t>Expectancy (R)</t>
  </si>
  <si>
    <t>Łączny wynik (R)</t>
  </si>
  <si>
    <t>Łączny wynik ($)</t>
  </si>
  <si>
    <t>Najlepszy trade (R)</t>
  </si>
  <si>
    <t>Najgorszy trade (R)</t>
  </si>
  <si>
    <t>Plan respektowany (%)</t>
  </si>
  <si>
    <t>📅  PODSUMOWANIE TYGODNIOWE</t>
  </si>
  <si>
    <t>Tydzień</t>
  </si>
  <si>
    <t>Trades</t>
  </si>
  <si>
    <t>Plan OK%</t>
  </si>
  <si>
    <t>Wnioski i korekty</t>
  </si>
  <si>
    <t>📝  ANALIZA SETUPÓW</t>
  </si>
  <si>
    <t>Nazwa setupu</t>
  </si>
  <si>
    <t>Wygrane</t>
  </si>
  <si>
    <t>Avg R</t>
  </si>
  <si>
    <t>Expectancy</t>
  </si>
  <si>
    <t>Opis / zasady</t>
  </si>
  <si>
    <t>Breakout z konsolidacji</t>
  </si>
  <si>
    <t>Powrót do OB (Order Block)</t>
  </si>
  <si>
    <t>Odbicie od S/R</t>
  </si>
  <si>
    <t>FVG Fill</t>
  </si>
  <si>
    <t>Trend continuation</t>
  </si>
  <si>
    <t>Reversal na FRL</t>
  </si>
  <si>
    <t>Scalp na liquidity sweep</t>
  </si>
  <si>
    <t>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</si>
</sst>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.00 &quot;$&quot;"/>
  </numFmts>
  <fonts count="10" x14ac:knownFonts="1">
    <font>
      <color theme="1"/>
      <family val="2"/>
      <scheme val="minor"/>
      <sz val="11"/>
      <name val="Calibri"/>
    </font>
    <font>
      <b/>
      <color rgb="FFE94560"/>
      <sz val="16"/>
      <name val="Arial"/>
    </font>
    <font>
      <b/>
      <color rgb="FFFFD60A"/>
      <sz val="9"/>
      <name val="Arial"/>
    </font>
    <font>
      <b/>
      <color rgb="FFFFFFFF"/>
      <sz val="11"/>
      <name val="Arial"/>
    </font>
    <font>
      <color rgb="FFADB5BD"/>
      <sz val="9"/>
      <name val="Arial"/>
    </font>
    <font>
      <color rgb="FFFFFFFF"/>
      <sz val="10"/>
      <name val="Arial"/>
    </font>
    <font>
      <b/>
      <color rgb="FFE94560"/>
      <sz val="14"/>
      <name val="Arial"/>
    </font>
    <font>
      <color rgb="FFADB5BD"/>
      <sz val="10"/>
      <name val="Arial"/>
    </font>
    <font>
      <b/>
      <color rgb="FFFFD60A"/>
      <sz val="11"/>
      <name val="Arial"/>
    </font>
    <font>
      <b/>
      <color rgb="FFFFD60A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16213E"/>
      </patternFill>
    </fill>
    <fill>
      <patternFill patternType="solid">
        <fgColor rgb="FF1E1E32"/>
      </patternFill>
    </fill>
    <fill>
      <patternFill patternType="solid">
        <fgColor rgb="FF22223A"/>
      </patternFill>
    </fill>
  </fills>
  <borders count="2">
    <border>
      <left/>
      <right/>
      <top/>
      <bottom/>
      <diagonal/>
    </border>
    <border>
      <left style="thin">
        <color rgb="FF2D3561"/>
      </left>
      <right style="thin">
        <color rgb="FF2D3561"/>
      </right>
      <top style="thin">
        <color rgb="FF2D3561"/>
      </top>
      <bottom style="thin">
        <color rgb="FF2D356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52B788"/>
      </font>
      <fill>
        <patternFill patternType="solid">
          <fgColor rgb="1A52B788"/>
        </patternFill>
      </fill>
    </dxf>
    <dxf>
      <font>
        <color rgb="FFEF233C"/>
      </font>
      <fill>
        <patternFill patternType="solid">
          <fgColor rgb="1AEF233C"/>
        </patternFill>
      </fill>
    </dxf>
    <dxf>
      <font>
        <b/>
        <color rgb="FF52B788"/>
      </font>
    </dxf>
    <dxf>
      <font>
        <b/>
        <color rgb="FFEF233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94560"/>
  </sheetPr>
  <dimension ref="A1:T53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2" customWidth="1"/>
    <col min="3" max="3" width="8" customWidth="1"/>
    <col min="4" max="4" width="12" customWidth="1"/>
    <col min="5" max="6" width="8" customWidth="1"/>
    <col min="7" max="7" width="18" customWidth="1"/>
    <col min="8" max="11" width="10" customWidth="1"/>
    <col min="12" max="16" width="8" customWidth="1"/>
    <col min="17" max="17" width="10" customWidth="1"/>
    <col min="19" max="19" width="14" customWidth="1"/>
    <col min="20" max="20" width="30" customWidth="1"/>
  </cols>
  <sheetData>
    <row r="1" ht="30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" customHeight="1" spans="1:20" x14ac:dyDescent="0.25">
      <c r="A2" s="2" t="s">
        <v>1</v>
      </c>
      <c r="B2" s="2"/>
      <c r="C2" s="2"/>
      <c r="D2" s="2" t="s">
        <v>2</v>
      </c>
      <c r="E2" s="2"/>
      <c r="F2" s="2"/>
      <c r="G2" s="2" t="s">
        <v>3</v>
      </c>
      <c r="H2" s="2" t="s">
        <v>4</v>
      </c>
      <c r="I2" s="2"/>
      <c r="J2" s="2"/>
      <c r="K2" s="2"/>
      <c r="L2" s="2" t="s">
        <v>5</v>
      </c>
      <c r="M2" s="2"/>
      <c r="N2" s="2"/>
      <c r="O2" s="2" t="s">
        <v>6</v>
      </c>
      <c r="P2" s="2"/>
      <c r="Q2" s="2"/>
      <c r="R2" s="2" t="s">
        <v>7</v>
      </c>
      <c r="S2" s="2"/>
      <c r="T2" s="2"/>
    </row>
    <row r="3" ht="22" customHeight="1" spans="1:20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  <c r="N3" s="3" t="s">
        <v>21</v>
      </c>
      <c r="O3" s="3" t="s">
        <v>22</v>
      </c>
      <c r="P3" s="3" t="s">
        <v>23</v>
      </c>
      <c r="Q3" s="3" t="s">
        <v>24</v>
      </c>
      <c r="R3" s="3" t="s">
        <v>25</v>
      </c>
      <c r="S3" s="3" t="s">
        <v>26</v>
      </c>
      <c r="T3" s="3" t="s">
        <v>27</v>
      </c>
    </row>
    <row r="4" ht="20" customHeight="1" spans="1:20" x14ac:dyDescent="0.25">
      <c r="A4" s="4">
        <f>=ROW()-3</f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>
        <f>=IFERROR(IF(J4&lt;&gt;"",ABS((J4-H4)/(H4-I4)),"-"),"-")</f>
      </c>
      <c r="O4" s="5">
        <f>=IFERROR(IF(K4&lt;&gt;"",ABS((K4-H4)/(H4-I4)),"-"),"-")</f>
      </c>
      <c r="P4" s="5">
        <f>=IFERROR(IF(K4&lt;&gt;"",IF(E4="LONG",(K4-H4)/(H4-I4),(H4-K4)/(I4-H4)),"-"),"-")</f>
      </c>
      <c r="Q4" s="5"/>
      <c r="R4" s="5"/>
      <c r="S4" s="5"/>
      <c r="T4" s="6"/>
    </row>
    <row r="5" ht="20" customHeight="1" spans="1:20" x14ac:dyDescent="0.25">
      <c r="A5" s="7">
        <f>=ROW()-3</f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>
        <f>=IFERROR(IF(J5&lt;&gt;"",ABS((J5-H5)/(H5-I5)),"-"),"-")</f>
      </c>
      <c r="O5" s="8">
        <f>=IFERROR(IF(K5&lt;&gt;"",ABS((K5-H5)/(H5-I5)),"-"),"-")</f>
      </c>
      <c r="P5" s="8">
        <f>=IFERROR(IF(K5&lt;&gt;"",IF(E5="LONG",(K5-H5)/(H5-I5),(H5-K5)/(I5-H5)),"-"),"-")</f>
      </c>
      <c r="Q5" s="8"/>
      <c r="R5" s="8"/>
      <c r="S5" s="8"/>
      <c r="T5" s="9"/>
    </row>
    <row r="6" ht="20" customHeight="1" spans="1:20" x14ac:dyDescent="0.25">
      <c r="A6" s="4">
        <f>=ROW()-3</f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f>=IFERROR(IF(J6&lt;&gt;"",ABS((J6-H6)/(H6-I6)),"-"),"-")</f>
      </c>
      <c r="O6" s="5">
        <f>=IFERROR(IF(K6&lt;&gt;"",ABS((K6-H6)/(H6-I6)),"-"),"-")</f>
      </c>
      <c r="P6" s="5">
        <f>=IFERROR(IF(K6&lt;&gt;"",IF(E6="LONG",(K6-H6)/(H6-I6),(H6-K6)/(I6-H6)),"-"),"-")</f>
      </c>
      <c r="Q6" s="5"/>
      <c r="R6" s="5"/>
      <c r="S6" s="5"/>
      <c r="T6" s="6"/>
    </row>
    <row r="7" ht="20" customHeight="1" spans="1:20" x14ac:dyDescent="0.25">
      <c r="A7" s="7">
        <f>=ROW()-3</f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>
        <f>=IFERROR(IF(J7&lt;&gt;"",ABS((J7-H7)/(H7-I7)),"-"),"-")</f>
      </c>
      <c r="O7" s="8">
        <f>=IFERROR(IF(K7&lt;&gt;"",ABS((K7-H7)/(H7-I7)),"-"),"-")</f>
      </c>
      <c r="P7" s="8">
        <f>=IFERROR(IF(K7&lt;&gt;"",IF(E7="LONG",(K7-H7)/(H7-I7),(H7-K7)/(I7-H7)),"-"),"-")</f>
      </c>
      <c r="Q7" s="8"/>
      <c r="R7" s="8"/>
      <c r="S7" s="8"/>
      <c r="T7" s="9"/>
    </row>
    <row r="8" ht="20" customHeight="1" spans="1:20" x14ac:dyDescent="0.25">
      <c r="A8" s="4">
        <f>=ROW()-3</f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f>=IFERROR(IF(J8&lt;&gt;"",ABS((J8-H8)/(H8-I8)),"-"),"-")</f>
      </c>
      <c r="O8" s="5">
        <f>=IFERROR(IF(K8&lt;&gt;"",ABS((K8-H8)/(H8-I8)),"-"),"-")</f>
      </c>
      <c r="P8" s="5">
        <f>=IFERROR(IF(K8&lt;&gt;"",IF(E8="LONG",(K8-H8)/(H8-I8),(H8-K8)/(I8-H8)),"-"),"-")</f>
      </c>
      <c r="Q8" s="5"/>
      <c r="R8" s="5"/>
      <c r="S8" s="5"/>
      <c r="T8" s="6"/>
    </row>
    <row r="9" ht="20" customHeight="1" spans="1:20" x14ac:dyDescent="0.25">
      <c r="A9" s="7">
        <f>=ROW()-3</f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>
        <f>=IFERROR(IF(J9&lt;&gt;"",ABS((J9-H9)/(H9-I9)),"-"),"-")</f>
      </c>
      <c r="O9" s="8">
        <f>=IFERROR(IF(K9&lt;&gt;"",ABS((K9-H9)/(H9-I9)),"-"),"-")</f>
      </c>
      <c r="P9" s="8">
        <f>=IFERROR(IF(K9&lt;&gt;"",IF(E9="LONG",(K9-H9)/(H9-I9),(H9-K9)/(I9-H9)),"-"),"-")</f>
      </c>
      <c r="Q9" s="8"/>
      <c r="R9" s="8"/>
      <c r="S9" s="8"/>
      <c r="T9" s="9"/>
    </row>
    <row r="10" ht="20" customHeight="1" spans="1:20" x14ac:dyDescent="0.25">
      <c r="A10" s="4">
        <f>=ROW()-3</f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f>=IFERROR(IF(J10&lt;&gt;"",ABS((J10-H10)/(H10-I10)),"-"),"-")</f>
      </c>
      <c r="O10" s="5">
        <f>=IFERROR(IF(K10&lt;&gt;"",ABS((K10-H10)/(H10-I10)),"-"),"-")</f>
      </c>
      <c r="P10" s="5">
        <f>=IFERROR(IF(K10&lt;&gt;"",IF(E10="LONG",(K10-H10)/(H10-I10),(H10-K10)/(I10-H10)),"-"),"-")</f>
      </c>
      <c r="Q10" s="5"/>
      <c r="R10" s="5"/>
      <c r="S10" s="5"/>
      <c r="T10" s="6"/>
    </row>
    <row r="11" ht="20" customHeight="1" spans="1:20" x14ac:dyDescent="0.25">
      <c r="A11" s="7">
        <f>=ROW()-3</f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>
        <f>=IFERROR(IF(J11&lt;&gt;"",ABS((J11-H11)/(H11-I11)),"-"),"-")</f>
      </c>
      <c r="O11" s="8">
        <f>=IFERROR(IF(K11&lt;&gt;"",ABS((K11-H11)/(H11-I11)),"-"),"-")</f>
      </c>
      <c r="P11" s="8">
        <f>=IFERROR(IF(K11&lt;&gt;"",IF(E11="LONG",(K11-H11)/(H11-I11),(H11-K11)/(I11-H11)),"-"),"-")</f>
      </c>
      <c r="Q11" s="8"/>
      <c r="R11" s="8"/>
      <c r="S11" s="8"/>
      <c r="T11" s="9"/>
    </row>
    <row r="12" ht="20" customHeight="1" spans="1:20" x14ac:dyDescent="0.25">
      <c r="A12" s="4">
        <f>=ROW()-3</f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>
        <f>=IFERROR(IF(J12&lt;&gt;"",ABS((J12-H12)/(H12-I12)),"-"),"-")</f>
      </c>
      <c r="O12" s="5">
        <f>=IFERROR(IF(K12&lt;&gt;"",ABS((K12-H12)/(H12-I12)),"-"),"-")</f>
      </c>
      <c r="P12" s="5">
        <f>=IFERROR(IF(K12&lt;&gt;"",IF(E12="LONG",(K12-H12)/(H12-I12),(H12-K12)/(I12-H12)),"-"),"-")</f>
      </c>
      <c r="Q12" s="5"/>
      <c r="R12" s="5"/>
      <c r="S12" s="5"/>
      <c r="T12" s="6"/>
    </row>
    <row r="13" ht="20" customHeight="1" spans="1:20" x14ac:dyDescent="0.25">
      <c r="A13" s="7">
        <f>=ROW()-3</f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>
        <f>=IFERROR(IF(J13&lt;&gt;"",ABS((J13-H13)/(H13-I13)),"-"),"-")</f>
      </c>
      <c r="O13" s="8">
        <f>=IFERROR(IF(K13&lt;&gt;"",ABS((K13-H13)/(H13-I13)),"-"),"-")</f>
      </c>
      <c r="P13" s="8">
        <f>=IFERROR(IF(K13&lt;&gt;"",IF(E13="LONG",(K13-H13)/(H13-I13),(H13-K13)/(I13-H13)),"-"),"-")</f>
      </c>
      <c r="Q13" s="8"/>
      <c r="R13" s="8"/>
      <c r="S13" s="8"/>
      <c r="T13" s="9"/>
    </row>
    <row r="14" ht="20" customHeight="1" spans="1:20" x14ac:dyDescent="0.25">
      <c r="A14" s="4">
        <f>=ROW()-3</f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f>=IFERROR(IF(J14&lt;&gt;"",ABS((J14-H14)/(H14-I14)),"-"),"-")</f>
      </c>
      <c r="O14" s="5">
        <f>=IFERROR(IF(K14&lt;&gt;"",ABS((K14-H14)/(H14-I14)),"-"),"-")</f>
      </c>
      <c r="P14" s="5">
        <f>=IFERROR(IF(K14&lt;&gt;"",IF(E14="LONG",(K14-H14)/(H14-I14),(H14-K14)/(I14-H14)),"-"),"-")</f>
      </c>
      <c r="Q14" s="5"/>
      <c r="R14" s="5"/>
      <c r="S14" s="5"/>
      <c r="T14" s="6"/>
    </row>
    <row r="15" ht="20" customHeight="1" spans="1:20" x14ac:dyDescent="0.25">
      <c r="A15" s="7">
        <f>=ROW()-3</f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>
        <f>=IFERROR(IF(J15&lt;&gt;"",ABS((J15-H15)/(H15-I15)),"-"),"-")</f>
      </c>
      <c r="O15" s="8">
        <f>=IFERROR(IF(K15&lt;&gt;"",ABS((K15-H15)/(H15-I15)),"-"),"-")</f>
      </c>
      <c r="P15" s="8">
        <f>=IFERROR(IF(K15&lt;&gt;"",IF(E15="LONG",(K15-H15)/(H15-I15),(H15-K15)/(I15-H15)),"-"),"-")</f>
      </c>
      <c r="Q15" s="8"/>
      <c r="R15" s="8"/>
      <c r="S15" s="8"/>
      <c r="T15" s="9"/>
    </row>
    <row r="16" ht="20" customHeight="1" spans="1:20" x14ac:dyDescent="0.25">
      <c r="A16" s="4">
        <f>=ROW()-3</f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f>=IFERROR(IF(J16&lt;&gt;"",ABS((J16-H16)/(H16-I16)),"-"),"-")</f>
      </c>
      <c r="O16" s="5">
        <f>=IFERROR(IF(K16&lt;&gt;"",ABS((K16-H16)/(H16-I16)),"-"),"-")</f>
      </c>
      <c r="P16" s="5">
        <f>=IFERROR(IF(K16&lt;&gt;"",IF(E16="LONG",(K16-H16)/(H16-I16),(H16-K16)/(I16-H16)),"-"),"-")</f>
      </c>
      <c r="Q16" s="5"/>
      <c r="R16" s="5"/>
      <c r="S16" s="5"/>
      <c r="T16" s="6"/>
    </row>
    <row r="17" ht="20" customHeight="1" spans="1:20" x14ac:dyDescent="0.25">
      <c r="A17" s="7">
        <f>=ROW()-3</f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>
        <f>=IFERROR(IF(J17&lt;&gt;"",ABS((J17-H17)/(H17-I17)),"-"),"-")</f>
      </c>
      <c r="O17" s="8">
        <f>=IFERROR(IF(K17&lt;&gt;"",ABS((K17-H17)/(H17-I17)),"-"),"-")</f>
      </c>
      <c r="P17" s="8">
        <f>=IFERROR(IF(K17&lt;&gt;"",IF(E17="LONG",(K17-H17)/(H17-I17),(H17-K17)/(I17-H17)),"-"),"-")</f>
      </c>
      <c r="Q17" s="8"/>
      <c r="R17" s="8"/>
      <c r="S17" s="8"/>
      <c r="T17" s="9"/>
    </row>
    <row r="18" ht="20" customHeight="1" spans="1:20" x14ac:dyDescent="0.25">
      <c r="A18" s="4">
        <f>=ROW()-3</f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f>=IFERROR(IF(J18&lt;&gt;"",ABS((J18-H18)/(H18-I18)),"-"),"-")</f>
      </c>
      <c r="O18" s="5">
        <f>=IFERROR(IF(K18&lt;&gt;"",ABS((K18-H18)/(H18-I18)),"-"),"-")</f>
      </c>
      <c r="P18" s="5">
        <f>=IFERROR(IF(K18&lt;&gt;"",IF(E18="LONG",(K18-H18)/(H18-I18),(H18-K18)/(I18-H18)),"-"),"-")</f>
      </c>
      <c r="Q18" s="5"/>
      <c r="R18" s="5"/>
      <c r="S18" s="5"/>
      <c r="T18" s="6"/>
    </row>
    <row r="19" ht="20" customHeight="1" spans="1:20" x14ac:dyDescent="0.25">
      <c r="A19" s="7">
        <f>=ROW()-3</f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>
        <f>=IFERROR(IF(J19&lt;&gt;"",ABS((J19-H19)/(H19-I19)),"-"),"-")</f>
      </c>
      <c r="O19" s="8">
        <f>=IFERROR(IF(K19&lt;&gt;"",ABS((K19-H19)/(H19-I19)),"-"),"-")</f>
      </c>
      <c r="P19" s="8">
        <f>=IFERROR(IF(K19&lt;&gt;"",IF(E19="LONG",(K19-H19)/(H19-I19),(H19-K19)/(I19-H19)),"-"),"-")</f>
      </c>
      <c r="Q19" s="8"/>
      <c r="R19" s="8"/>
      <c r="S19" s="8"/>
      <c r="T19" s="9"/>
    </row>
    <row r="20" ht="20" customHeight="1" spans="1:20" x14ac:dyDescent="0.25">
      <c r="A20" s="4">
        <f>=ROW()-3</f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f>=IFERROR(IF(J20&lt;&gt;"",ABS((J20-H20)/(H20-I20)),"-"),"-")</f>
      </c>
      <c r="O20" s="5">
        <f>=IFERROR(IF(K20&lt;&gt;"",ABS((K20-H20)/(H20-I20)),"-"),"-")</f>
      </c>
      <c r="P20" s="5">
        <f>=IFERROR(IF(K20&lt;&gt;"",IF(E20="LONG",(K20-H20)/(H20-I20),(H20-K20)/(I20-H20)),"-"),"-")</f>
      </c>
      <c r="Q20" s="5"/>
      <c r="R20" s="5"/>
      <c r="S20" s="5"/>
      <c r="T20" s="6"/>
    </row>
    <row r="21" ht="20" customHeight="1" spans="1:20" x14ac:dyDescent="0.25">
      <c r="A21" s="7">
        <f>=ROW()-3</f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>
        <f>=IFERROR(IF(J21&lt;&gt;"",ABS((J21-H21)/(H21-I21)),"-"),"-")</f>
      </c>
      <c r="O21" s="8">
        <f>=IFERROR(IF(K21&lt;&gt;"",ABS((K21-H21)/(H21-I21)),"-"),"-")</f>
      </c>
      <c r="P21" s="8">
        <f>=IFERROR(IF(K21&lt;&gt;"",IF(E21="LONG",(K21-H21)/(H21-I21),(H21-K21)/(I21-H21)),"-"),"-")</f>
      </c>
      <c r="Q21" s="8"/>
      <c r="R21" s="8"/>
      <c r="S21" s="8"/>
      <c r="T21" s="9"/>
    </row>
    <row r="22" ht="20" customHeight="1" spans="1:20" x14ac:dyDescent="0.25">
      <c r="A22" s="4">
        <f>=ROW()-3</f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f>=IFERROR(IF(J22&lt;&gt;"",ABS((J22-H22)/(H22-I22)),"-"),"-")</f>
      </c>
      <c r="O22" s="5">
        <f>=IFERROR(IF(K22&lt;&gt;"",ABS((K22-H22)/(H22-I22)),"-"),"-")</f>
      </c>
      <c r="P22" s="5">
        <f>=IFERROR(IF(K22&lt;&gt;"",IF(E22="LONG",(K22-H22)/(H22-I22),(H22-K22)/(I22-H22)),"-"),"-")</f>
      </c>
      <c r="Q22" s="5"/>
      <c r="R22" s="5"/>
      <c r="S22" s="5"/>
      <c r="T22" s="6"/>
    </row>
    <row r="23" ht="20" customHeight="1" spans="1:20" x14ac:dyDescent="0.25">
      <c r="A23" s="7">
        <f>=ROW()-3</f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>
        <f>=IFERROR(IF(J23&lt;&gt;"",ABS((J23-H23)/(H23-I23)),"-"),"-")</f>
      </c>
      <c r="O23" s="8">
        <f>=IFERROR(IF(K23&lt;&gt;"",ABS((K23-H23)/(H23-I23)),"-"),"-")</f>
      </c>
      <c r="P23" s="8">
        <f>=IFERROR(IF(K23&lt;&gt;"",IF(E23="LONG",(K23-H23)/(H23-I23),(H23-K23)/(I23-H23)),"-"),"-")</f>
      </c>
      <c r="Q23" s="8"/>
      <c r="R23" s="8"/>
      <c r="S23" s="8"/>
      <c r="T23" s="9"/>
    </row>
    <row r="24" ht="20" customHeight="1" spans="1:20" x14ac:dyDescent="0.25">
      <c r="A24" s="4">
        <f>=ROW()-3</f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f>=IFERROR(IF(J24&lt;&gt;"",ABS((J24-H24)/(H24-I24)),"-"),"-")</f>
      </c>
      <c r="O24" s="5">
        <f>=IFERROR(IF(K24&lt;&gt;"",ABS((K24-H24)/(H24-I24)),"-"),"-")</f>
      </c>
      <c r="P24" s="5">
        <f>=IFERROR(IF(K24&lt;&gt;"",IF(E24="LONG",(K24-H24)/(H24-I24),(H24-K24)/(I24-H24)),"-"),"-")</f>
      </c>
      <c r="Q24" s="5"/>
      <c r="R24" s="5"/>
      <c r="S24" s="5"/>
      <c r="T24" s="6"/>
    </row>
    <row r="25" ht="20" customHeight="1" spans="1:20" x14ac:dyDescent="0.25">
      <c r="A25" s="7">
        <f>=ROW()-3</f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>
        <f>=IFERROR(IF(J25&lt;&gt;"",ABS((J25-H25)/(H25-I25)),"-"),"-")</f>
      </c>
      <c r="O25" s="8">
        <f>=IFERROR(IF(K25&lt;&gt;"",ABS((K25-H25)/(H25-I25)),"-"),"-")</f>
      </c>
      <c r="P25" s="8">
        <f>=IFERROR(IF(K25&lt;&gt;"",IF(E25="LONG",(K25-H25)/(H25-I25),(H25-K25)/(I25-H25)),"-"),"-")</f>
      </c>
      <c r="Q25" s="8"/>
      <c r="R25" s="8"/>
      <c r="S25" s="8"/>
      <c r="T25" s="9"/>
    </row>
    <row r="26" ht="20" customHeight="1" spans="1:20" x14ac:dyDescent="0.25">
      <c r="A26" s="4">
        <f>=ROW()-3</f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>
        <f>=IFERROR(IF(J26&lt;&gt;"",ABS((J26-H26)/(H26-I26)),"-"),"-")</f>
      </c>
      <c r="O26" s="5">
        <f>=IFERROR(IF(K26&lt;&gt;"",ABS((K26-H26)/(H26-I26)),"-"),"-")</f>
      </c>
      <c r="P26" s="5">
        <f>=IFERROR(IF(K26&lt;&gt;"",IF(E26="LONG",(K26-H26)/(H26-I26),(H26-K26)/(I26-H26)),"-"),"-")</f>
      </c>
      <c r="Q26" s="5"/>
      <c r="R26" s="5"/>
      <c r="S26" s="5"/>
      <c r="T26" s="6"/>
    </row>
    <row r="27" ht="20" customHeight="1" spans="1:20" x14ac:dyDescent="0.25">
      <c r="A27" s="7">
        <f>=ROW()-3</f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>
        <f>=IFERROR(IF(J27&lt;&gt;"",ABS((J27-H27)/(H27-I27)),"-"),"-")</f>
      </c>
      <c r="O27" s="8">
        <f>=IFERROR(IF(K27&lt;&gt;"",ABS((K27-H27)/(H27-I27)),"-"),"-")</f>
      </c>
      <c r="P27" s="8">
        <f>=IFERROR(IF(K27&lt;&gt;"",IF(E27="LONG",(K27-H27)/(H27-I27),(H27-K27)/(I27-H27)),"-"),"-")</f>
      </c>
      <c r="Q27" s="8"/>
      <c r="R27" s="8"/>
      <c r="S27" s="8"/>
      <c r="T27" s="9"/>
    </row>
    <row r="28" ht="20" customHeight="1" spans="1:20" x14ac:dyDescent="0.25">
      <c r="A28" s="4">
        <f>=ROW()-3</f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>
        <f>=IFERROR(IF(J28&lt;&gt;"",ABS((J28-H28)/(H28-I28)),"-"),"-")</f>
      </c>
      <c r="O28" s="5">
        <f>=IFERROR(IF(K28&lt;&gt;"",ABS((K28-H28)/(H28-I28)),"-"),"-")</f>
      </c>
      <c r="P28" s="5">
        <f>=IFERROR(IF(K28&lt;&gt;"",IF(E28="LONG",(K28-H28)/(H28-I28),(H28-K28)/(I28-H28)),"-"),"-")</f>
      </c>
      <c r="Q28" s="5"/>
      <c r="R28" s="5"/>
      <c r="S28" s="5"/>
      <c r="T28" s="6"/>
    </row>
    <row r="29" ht="20" customHeight="1" spans="1:20" x14ac:dyDescent="0.25">
      <c r="A29" s="7">
        <f>=ROW()-3</f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>
        <f>=IFERROR(IF(J29&lt;&gt;"",ABS((J29-H29)/(H29-I29)),"-"),"-")</f>
      </c>
      <c r="O29" s="8">
        <f>=IFERROR(IF(K29&lt;&gt;"",ABS((K29-H29)/(H29-I29)),"-"),"-")</f>
      </c>
      <c r="P29" s="8">
        <f>=IFERROR(IF(K29&lt;&gt;"",IF(E29="LONG",(K29-H29)/(H29-I29),(H29-K29)/(I29-H29)),"-"),"-")</f>
      </c>
      <c r="Q29" s="8"/>
      <c r="R29" s="8"/>
      <c r="S29" s="8"/>
      <c r="T29" s="9"/>
    </row>
    <row r="30" ht="20" customHeight="1" spans="1:20" x14ac:dyDescent="0.25">
      <c r="A30" s="4">
        <f>=ROW()-3</f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f>=IFERROR(IF(J30&lt;&gt;"",ABS((J30-H30)/(H30-I30)),"-"),"-")</f>
      </c>
      <c r="O30" s="5">
        <f>=IFERROR(IF(K30&lt;&gt;"",ABS((K30-H30)/(H30-I30)),"-"),"-")</f>
      </c>
      <c r="P30" s="5">
        <f>=IFERROR(IF(K30&lt;&gt;"",IF(E30="LONG",(K30-H30)/(H30-I30),(H30-K30)/(I30-H30)),"-"),"-")</f>
      </c>
      <c r="Q30" s="5"/>
      <c r="R30" s="5"/>
      <c r="S30" s="5"/>
      <c r="T30" s="6"/>
    </row>
    <row r="31" ht="20" customHeight="1" spans="1:20" x14ac:dyDescent="0.25">
      <c r="A31" s="7">
        <f>=ROW()-3</f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>
        <f>=IFERROR(IF(J31&lt;&gt;"",ABS((J31-H31)/(H31-I31)),"-"),"-")</f>
      </c>
      <c r="O31" s="8">
        <f>=IFERROR(IF(K31&lt;&gt;"",ABS((K31-H31)/(H31-I31)),"-"),"-")</f>
      </c>
      <c r="P31" s="8">
        <f>=IFERROR(IF(K31&lt;&gt;"",IF(E31="LONG",(K31-H31)/(H31-I31),(H31-K31)/(I31-H31)),"-"),"-")</f>
      </c>
      <c r="Q31" s="8"/>
      <c r="R31" s="8"/>
      <c r="S31" s="8"/>
      <c r="T31" s="9"/>
    </row>
    <row r="32" ht="20" customHeight="1" spans="1:20" x14ac:dyDescent="0.25">
      <c r="A32" s="4">
        <f>=ROW()-3</f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f>=IFERROR(IF(J32&lt;&gt;"",ABS((J32-H32)/(H32-I32)),"-"),"-")</f>
      </c>
      <c r="O32" s="5">
        <f>=IFERROR(IF(K32&lt;&gt;"",ABS((K32-H32)/(H32-I32)),"-"),"-")</f>
      </c>
      <c r="P32" s="5">
        <f>=IFERROR(IF(K32&lt;&gt;"",IF(E32="LONG",(K32-H32)/(H32-I32),(H32-K32)/(I32-H32)),"-"),"-")</f>
      </c>
      <c r="Q32" s="5"/>
      <c r="R32" s="5"/>
      <c r="S32" s="5"/>
      <c r="T32" s="6"/>
    </row>
    <row r="33" ht="20" customHeight="1" spans="1:20" x14ac:dyDescent="0.25">
      <c r="A33" s="7">
        <f>=ROW()-3</f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>
        <f>=IFERROR(IF(J33&lt;&gt;"",ABS((J33-H33)/(H33-I33)),"-"),"-")</f>
      </c>
      <c r="O33" s="8">
        <f>=IFERROR(IF(K33&lt;&gt;"",ABS((K33-H33)/(H33-I33)),"-"),"-")</f>
      </c>
      <c r="P33" s="8">
        <f>=IFERROR(IF(K33&lt;&gt;"",IF(E33="LONG",(K33-H33)/(H33-I33),(H33-K33)/(I33-H33)),"-"),"-")</f>
      </c>
      <c r="Q33" s="8"/>
      <c r="R33" s="8"/>
      <c r="S33" s="8"/>
      <c r="T33" s="9"/>
    </row>
    <row r="34" ht="20" customHeight="1" spans="1:20" x14ac:dyDescent="0.25">
      <c r="A34" s="4">
        <f>=ROW()-3</f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f>=IFERROR(IF(J34&lt;&gt;"",ABS((J34-H34)/(H34-I34)),"-"),"-")</f>
      </c>
      <c r="O34" s="5">
        <f>=IFERROR(IF(K34&lt;&gt;"",ABS((K34-H34)/(H34-I34)),"-"),"-")</f>
      </c>
      <c r="P34" s="5">
        <f>=IFERROR(IF(K34&lt;&gt;"",IF(E34="LONG",(K34-H34)/(H34-I34),(H34-K34)/(I34-H34)),"-"),"-")</f>
      </c>
      <c r="Q34" s="5"/>
      <c r="R34" s="5"/>
      <c r="S34" s="5"/>
      <c r="T34" s="6"/>
    </row>
    <row r="35" ht="20" customHeight="1" spans="1:20" x14ac:dyDescent="0.25">
      <c r="A35" s="7">
        <f>=ROW()-3</f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>
        <f>=IFERROR(IF(J35&lt;&gt;"",ABS((J35-H35)/(H35-I35)),"-"),"-")</f>
      </c>
      <c r="O35" s="8">
        <f>=IFERROR(IF(K35&lt;&gt;"",ABS((K35-H35)/(H35-I35)),"-"),"-")</f>
      </c>
      <c r="P35" s="8">
        <f>=IFERROR(IF(K35&lt;&gt;"",IF(E35="LONG",(K35-H35)/(H35-I35),(H35-K35)/(I35-H35)),"-"),"-")</f>
      </c>
      <c r="Q35" s="8"/>
      <c r="R35" s="8"/>
      <c r="S35" s="8"/>
      <c r="T35" s="9"/>
    </row>
    <row r="36" ht="20" customHeight="1" spans="1:20" x14ac:dyDescent="0.25">
      <c r="A36" s="4">
        <f>=ROW()-3</f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f>=IFERROR(IF(J36&lt;&gt;"",ABS((J36-H36)/(H36-I36)),"-"),"-")</f>
      </c>
      <c r="O36" s="5">
        <f>=IFERROR(IF(K36&lt;&gt;"",ABS((K36-H36)/(H36-I36)),"-"),"-")</f>
      </c>
      <c r="P36" s="5">
        <f>=IFERROR(IF(K36&lt;&gt;"",IF(E36="LONG",(K36-H36)/(H36-I36),(H36-K36)/(I36-H36)),"-"),"-")</f>
      </c>
      <c r="Q36" s="5"/>
      <c r="R36" s="5"/>
      <c r="S36" s="5"/>
      <c r="T36" s="6"/>
    </row>
    <row r="37" ht="20" customHeight="1" spans="1:20" x14ac:dyDescent="0.25">
      <c r="A37" s="7">
        <f>=ROW()-3</f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>
        <f>=IFERROR(IF(J37&lt;&gt;"",ABS((J37-H37)/(H37-I37)),"-"),"-")</f>
      </c>
      <c r="O37" s="8">
        <f>=IFERROR(IF(K37&lt;&gt;"",ABS((K37-H37)/(H37-I37)),"-"),"-")</f>
      </c>
      <c r="P37" s="8">
        <f>=IFERROR(IF(K37&lt;&gt;"",IF(E37="LONG",(K37-H37)/(H37-I37),(H37-K37)/(I37-H37)),"-"),"-")</f>
      </c>
      <c r="Q37" s="8"/>
      <c r="R37" s="8"/>
      <c r="S37" s="8"/>
      <c r="T37" s="9"/>
    </row>
    <row r="38" ht="20" customHeight="1" spans="1:20" x14ac:dyDescent="0.25">
      <c r="A38" s="4">
        <f>=ROW()-3</f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>
        <f>=IFERROR(IF(J38&lt;&gt;"",ABS((J38-H38)/(H38-I38)),"-"),"-")</f>
      </c>
      <c r="O38" s="5">
        <f>=IFERROR(IF(K38&lt;&gt;"",ABS((K38-H38)/(H38-I38)),"-"),"-")</f>
      </c>
      <c r="P38" s="5">
        <f>=IFERROR(IF(K38&lt;&gt;"",IF(E38="LONG",(K38-H38)/(H38-I38),(H38-K38)/(I38-H38)),"-"),"-")</f>
      </c>
      <c r="Q38" s="5"/>
      <c r="R38" s="5"/>
      <c r="S38" s="5"/>
      <c r="T38" s="6"/>
    </row>
    <row r="39" ht="20" customHeight="1" spans="1:20" x14ac:dyDescent="0.25">
      <c r="A39" s="7">
        <f>=ROW()-3</f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>
        <f>=IFERROR(IF(J39&lt;&gt;"",ABS((J39-H39)/(H39-I39)),"-"),"-")</f>
      </c>
      <c r="O39" s="8">
        <f>=IFERROR(IF(K39&lt;&gt;"",ABS((K39-H39)/(H39-I39)),"-"),"-")</f>
      </c>
      <c r="P39" s="8">
        <f>=IFERROR(IF(K39&lt;&gt;"",IF(E39="LONG",(K39-H39)/(H39-I39),(H39-K39)/(I39-H39)),"-"),"-")</f>
      </c>
      <c r="Q39" s="8"/>
      <c r="R39" s="8"/>
      <c r="S39" s="8"/>
      <c r="T39" s="9"/>
    </row>
    <row r="40" ht="20" customHeight="1" spans="1:20" x14ac:dyDescent="0.25">
      <c r="A40" s="4">
        <f>=ROW()-3</f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f>=IFERROR(IF(J40&lt;&gt;"",ABS((J40-H40)/(H40-I40)),"-"),"-")</f>
      </c>
      <c r="O40" s="5">
        <f>=IFERROR(IF(K40&lt;&gt;"",ABS((K40-H40)/(H40-I40)),"-"),"-")</f>
      </c>
      <c r="P40" s="5">
        <f>=IFERROR(IF(K40&lt;&gt;"",IF(E40="LONG",(K40-H40)/(H40-I40),(H40-K40)/(I40-H40)),"-"),"-")</f>
      </c>
      <c r="Q40" s="5"/>
      <c r="R40" s="5"/>
      <c r="S40" s="5"/>
      <c r="T40" s="6"/>
    </row>
    <row r="41" ht="20" customHeight="1" spans="1:20" x14ac:dyDescent="0.25">
      <c r="A41" s="7">
        <f>=ROW()-3</f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>
        <f>=IFERROR(IF(J41&lt;&gt;"",ABS((J41-H41)/(H41-I41)),"-"),"-")</f>
      </c>
      <c r="O41" s="8">
        <f>=IFERROR(IF(K41&lt;&gt;"",ABS((K41-H41)/(H41-I41)),"-"),"-")</f>
      </c>
      <c r="P41" s="8">
        <f>=IFERROR(IF(K41&lt;&gt;"",IF(E41="LONG",(K41-H41)/(H41-I41),(H41-K41)/(I41-H41)),"-"),"-")</f>
      </c>
      <c r="Q41" s="8"/>
      <c r="R41" s="8"/>
      <c r="S41" s="8"/>
      <c r="T41" s="9"/>
    </row>
    <row r="42" ht="20" customHeight="1" spans="1:20" x14ac:dyDescent="0.25">
      <c r="A42" s="4">
        <f>=ROW()-3</f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f>=IFERROR(IF(J42&lt;&gt;"",ABS((J42-H42)/(H42-I42)),"-"),"-")</f>
      </c>
      <c r="O42" s="5">
        <f>=IFERROR(IF(K42&lt;&gt;"",ABS((K42-H42)/(H42-I42)),"-"),"-")</f>
      </c>
      <c r="P42" s="5">
        <f>=IFERROR(IF(K42&lt;&gt;"",IF(E42="LONG",(K42-H42)/(H42-I42),(H42-K42)/(I42-H42)),"-"),"-")</f>
      </c>
      <c r="Q42" s="5"/>
      <c r="R42" s="5"/>
      <c r="S42" s="5"/>
      <c r="T42" s="6"/>
    </row>
    <row r="43" ht="20" customHeight="1" spans="1:20" x14ac:dyDescent="0.25">
      <c r="A43" s="7">
        <f>=ROW()-3</f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>
        <f>=IFERROR(IF(J43&lt;&gt;"",ABS((J43-H43)/(H43-I43)),"-"),"-")</f>
      </c>
      <c r="O43" s="8">
        <f>=IFERROR(IF(K43&lt;&gt;"",ABS((K43-H43)/(H43-I43)),"-"),"-")</f>
      </c>
      <c r="P43" s="8">
        <f>=IFERROR(IF(K43&lt;&gt;"",IF(E43="LONG",(K43-H43)/(H43-I43),(H43-K43)/(I43-H43)),"-"),"-")</f>
      </c>
      <c r="Q43" s="8"/>
      <c r="R43" s="8"/>
      <c r="S43" s="8"/>
      <c r="T43" s="9"/>
    </row>
    <row r="44" ht="20" customHeight="1" spans="1:20" x14ac:dyDescent="0.25">
      <c r="A44" s="4">
        <f>=ROW()-3</f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f>=IFERROR(IF(J44&lt;&gt;"",ABS((J44-H44)/(H44-I44)),"-"),"-")</f>
      </c>
      <c r="O44" s="5">
        <f>=IFERROR(IF(K44&lt;&gt;"",ABS((K44-H44)/(H44-I44)),"-"),"-")</f>
      </c>
      <c r="P44" s="5">
        <f>=IFERROR(IF(K44&lt;&gt;"",IF(E44="LONG",(K44-H44)/(H44-I44),(H44-K44)/(I44-H44)),"-"),"-")</f>
      </c>
      <c r="Q44" s="5"/>
      <c r="R44" s="5"/>
      <c r="S44" s="5"/>
      <c r="T44" s="6"/>
    </row>
    <row r="45" ht="20" customHeight="1" spans="1:20" x14ac:dyDescent="0.25">
      <c r="A45" s="7">
        <f>=ROW()-3</f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>
        <f>=IFERROR(IF(J45&lt;&gt;"",ABS((J45-H45)/(H45-I45)),"-"),"-")</f>
      </c>
      <c r="O45" s="8">
        <f>=IFERROR(IF(K45&lt;&gt;"",ABS((K45-H45)/(H45-I45)),"-"),"-")</f>
      </c>
      <c r="P45" s="8">
        <f>=IFERROR(IF(K45&lt;&gt;"",IF(E45="LONG",(K45-H45)/(H45-I45),(H45-K45)/(I45-H45)),"-"),"-")</f>
      </c>
      <c r="Q45" s="8"/>
      <c r="R45" s="8"/>
      <c r="S45" s="8"/>
      <c r="T45" s="9"/>
    </row>
    <row r="46" ht="20" customHeight="1" spans="1:20" x14ac:dyDescent="0.25">
      <c r="A46" s="4">
        <f>=ROW()-3</f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f>=IFERROR(IF(J46&lt;&gt;"",ABS((J46-H46)/(H46-I46)),"-"),"-")</f>
      </c>
      <c r="O46" s="5">
        <f>=IFERROR(IF(K46&lt;&gt;"",ABS((K46-H46)/(H46-I46)),"-"),"-")</f>
      </c>
      <c r="P46" s="5">
        <f>=IFERROR(IF(K46&lt;&gt;"",IF(E46="LONG",(K46-H46)/(H46-I46),(H46-K46)/(I46-H46)),"-"),"-")</f>
      </c>
      <c r="Q46" s="5"/>
      <c r="R46" s="5"/>
      <c r="S46" s="5"/>
      <c r="T46" s="6"/>
    </row>
    <row r="47" ht="20" customHeight="1" spans="1:20" x14ac:dyDescent="0.25">
      <c r="A47" s="7">
        <f>=ROW()-3</f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>
        <f>=IFERROR(IF(J47&lt;&gt;"",ABS((J47-H47)/(H47-I47)),"-"),"-")</f>
      </c>
      <c r="O47" s="8">
        <f>=IFERROR(IF(K47&lt;&gt;"",ABS((K47-H47)/(H47-I47)),"-"),"-")</f>
      </c>
      <c r="P47" s="8">
        <f>=IFERROR(IF(K47&lt;&gt;"",IF(E47="LONG",(K47-H47)/(H47-I47),(H47-K47)/(I47-H47)),"-"),"-")</f>
      </c>
      <c r="Q47" s="8"/>
      <c r="R47" s="8"/>
      <c r="S47" s="8"/>
      <c r="T47" s="9"/>
    </row>
    <row r="48" ht="20" customHeight="1" spans="1:20" x14ac:dyDescent="0.25">
      <c r="A48" s="4">
        <f>=ROW()-3</f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f>=IFERROR(IF(J48&lt;&gt;"",ABS((J48-H48)/(H48-I48)),"-"),"-")</f>
      </c>
      <c r="O48" s="5">
        <f>=IFERROR(IF(K48&lt;&gt;"",ABS((K48-H48)/(H48-I48)),"-"),"-")</f>
      </c>
      <c r="P48" s="5">
        <f>=IFERROR(IF(K48&lt;&gt;"",IF(E48="LONG",(K48-H48)/(H48-I48),(H48-K48)/(I48-H48)),"-"),"-")</f>
      </c>
      <c r="Q48" s="5"/>
      <c r="R48" s="5"/>
      <c r="S48" s="5"/>
      <c r="T48" s="6"/>
    </row>
    <row r="49" ht="20" customHeight="1" spans="1:20" x14ac:dyDescent="0.25">
      <c r="A49" s="7">
        <f>=ROW()-3</f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>
        <f>=IFERROR(IF(J49&lt;&gt;"",ABS((J49-H49)/(H49-I49)),"-"),"-")</f>
      </c>
      <c r="O49" s="8">
        <f>=IFERROR(IF(K49&lt;&gt;"",ABS((K49-H49)/(H49-I49)),"-"),"-")</f>
      </c>
      <c r="P49" s="8">
        <f>=IFERROR(IF(K49&lt;&gt;"",IF(E49="LONG",(K49-H49)/(H49-I49),(H49-K49)/(I49-H49)),"-"),"-")</f>
      </c>
      <c r="Q49" s="8"/>
      <c r="R49" s="8"/>
      <c r="S49" s="8"/>
      <c r="T49" s="9"/>
    </row>
    <row r="50" ht="20" customHeight="1" spans="1:20" x14ac:dyDescent="0.25">
      <c r="A50" s="4">
        <f>=ROW()-3</f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f>=IFERROR(IF(J50&lt;&gt;"",ABS((J50-H50)/(H50-I50)),"-"),"-")</f>
      </c>
      <c r="O50" s="5">
        <f>=IFERROR(IF(K50&lt;&gt;"",ABS((K50-H50)/(H50-I50)),"-"),"-")</f>
      </c>
      <c r="P50" s="5">
        <f>=IFERROR(IF(K50&lt;&gt;"",IF(E50="LONG",(K50-H50)/(H50-I50),(H50-K50)/(I50-H50)),"-"),"-")</f>
      </c>
      <c r="Q50" s="5"/>
      <c r="R50" s="5"/>
      <c r="S50" s="5"/>
      <c r="T50" s="6"/>
    </row>
    <row r="51" ht="20" customHeight="1" spans="1:20" x14ac:dyDescent="0.25">
      <c r="A51" s="7">
        <f>=ROW()-3</f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>
        <f>=IFERROR(IF(J51&lt;&gt;"",ABS((J51-H51)/(H51-I51)),"-"),"-")</f>
      </c>
      <c r="O51" s="8">
        <f>=IFERROR(IF(K51&lt;&gt;"",ABS((K51-H51)/(H51-I51)),"-"),"-")</f>
      </c>
      <c r="P51" s="8">
        <f>=IFERROR(IF(K51&lt;&gt;"",IF(E51="LONG",(K51-H51)/(H51-I51),(H51-K51)/(I51-H51)),"-"),"-")</f>
      </c>
      <c r="Q51" s="8"/>
      <c r="R51" s="8"/>
      <c r="S51" s="8"/>
      <c r="T51" s="9"/>
    </row>
    <row r="52" ht="20" customHeight="1" spans="1:20" x14ac:dyDescent="0.25">
      <c r="A52" s="4">
        <f>=ROW()-3</f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f>=IFERROR(IF(J52&lt;&gt;"",ABS((J52-H52)/(H52-I52)),"-"),"-")</f>
      </c>
      <c r="O52" s="5">
        <f>=IFERROR(IF(K52&lt;&gt;"",ABS((K52-H52)/(H52-I52)),"-"),"-")</f>
      </c>
      <c r="P52" s="5">
        <f>=IFERROR(IF(K52&lt;&gt;"",IF(E52="LONG",(K52-H52)/(H52-I52),(H52-K52)/(I52-H52)),"-"),"-")</f>
      </c>
      <c r="Q52" s="5"/>
      <c r="R52" s="5"/>
      <c r="S52" s="5"/>
      <c r="T52" s="6"/>
    </row>
    <row r="53" ht="20" customHeight="1" spans="1:20" x14ac:dyDescent="0.25">
      <c r="A53" s="7">
        <f>=ROW()-3</f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>
        <f>=IFERROR(IF(J53&lt;&gt;"",ABS((J53-H53)/(H53-I53)),"-"),"-")</f>
      </c>
      <c r="O53" s="8">
        <f>=IFERROR(IF(K53&lt;&gt;"",ABS((K53-H53)/(H53-I53)),"-"),"-")</f>
      </c>
      <c r="P53" s="8">
        <f>=IFERROR(IF(K53&lt;&gt;"",IF(E53="LONG",(K53-H53)/(H53-I53),(H53-K53)/(I53-H53)),"-"),"-")</f>
      </c>
      <c r="Q53" s="8"/>
      <c r="R53" s="8"/>
      <c r="S53" s="8"/>
      <c r="T53" s="9"/>
    </row>
  </sheetData>
  <mergeCells count="7">
    <mergeCell ref="A1:T1"/>
    <mergeCell ref="A2:C2"/>
    <mergeCell ref="D2:F2"/>
    <mergeCell ref="H2:K2"/>
    <mergeCell ref="L2:N2"/>
    <mergeCell ref="O2:Q2"/>
    <mergeCell ref="R2:T2"/>
  </mergeCells>
  <conditionalFormatting sqref="P4:P53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E4:E53">
    <cfRule type="containsText" dxfId="2" priority="1">
      <formula>NOT(ISERROR(SEARCH("LONG",E4)))</formula>
    </cfRule>
    <cfRule type="containsText" dxfId="3" priority="2">
      <formula>NOT(ISERROR(SEARCH("SHORT",E4)))</formula>
    </cfRule>
  </conditionalFormatting>
  <dataValidations count="4">
    <dataValidation type="list" allowBlank="1" sqref="E4:E53">
      <formula1>"LONG,SHORT"</formula1>
    </dataValidation>
    <dataValidation type="list" allowBlank="1" sqref="F4:F53">
      <formula1>"M1,M5,M15,M30,H1,H4,D1,W1"</formula1>
    </dataValidation>
    <dataValidation type="list" allowBlank="1" sqref="R4:R53">
      <formula1>"✅ Tak,❌ Nie,⚠️ Częściowo"</formula1>
    </dataValidation>
    <dataValidation type="list" allowBlank="1" sqref="S4:S53">
      <formula1>"😊 Neutralne,😰 Stres,😤 Frustracja,🤑 FOMO,😌 Spokój,😴 Znudzenie"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2B788"/>
  </sheetPr>
  <dimension ref="A1:E16"/>
  <sheetViews>
    <sheetView workbookViewId="0" showGridLines="0"/>
  </sheetViews>
  <sheetFormatPr defaultRowHeight="15" outlineLevelRow="0" outlineLevelCol="0" x14ac:dyDescent="55"/>
  <cols>
    <col min="1" max="1" width="28" customWidth="1"/>
    <col min="2" max="5" width="18" customWidth="1"/>
  </cols>
  <sheetData>
    <row r="1" ht="30" customHeight="1" spans="1:5" x14ac:dyDescent="0.25">
      <c r="A1" s="10" t="s">
        <v>28</v>
      </c>
      <c r="B1" s="10"/>
      <c r="C1" s="10"/>
      <c r="D1" s="10"/>
      <c r="E1" s="10"/>
    </row>
    <row r="2" ht="22" customHeight="1" spans="1:2" x14ac:dyDescent="0.25">
      <c r="A2" s="3" t="s">
        <v>29</v>
      </c>
      <c r="B2" s="3" t="s">
        <v>30</v>
      </c>
    </row>
    <row r="3" ht="22" customHeight="1" spans="1:2" x14ac:dyDescent="0.25">
      <c r="A3" s="11" t="s">
        <v>31</v>
      </c>
      <c r="B3" s="12">
        <f>=COUNTA('📋 Dziennik'!B4:B53)</f>
      </c>
    </row>
    <row r="4" ht="22" customHeight="1" spans="1:2" x14ac:dyDescent="0.25">
      <c r="A4" s="13" t="s">
        <v>32</v>
      </c>
      <c r="B4" s="14">
        <f>=COUNTIF('📋 Dziennik'!E4:E53,"LONG")</f>
      </c>
    </row>
    <row r="5" ht="22" customHeight="1" spans="1:2" x14ac:dyDescent="0.25">
      <c r="A5" s="11" t="s">
        <v>33</v>
      </c>
      <c r="B5" s="12">
        <f>=COUNTIF('📋 Dziennik'!E4:E53,"SHORT")</f>
      </c>
    </row>
    <row r="6" ht="22" customHeight="1" spans="1:2" x14ac:dyDescent="0.25">
      <c r="A6" s="13" t="s">
        <v>34</v>
      </c>
      <c r="B6" s="14">
        <f>=COUNTIF('📋 Dziennik'!P4:P53,"&gt;0")</f>
      </c>
    </row>
    <row r="7" ht="22" customHeight="1" spans="1:2" x14ac:dyDescent="0.25">
      <c r="A7" s="11" t="s">
        <v>35</v>
      </c>
      <c r="B7" s="12">
        <f>=COUNTIF('📋 Dziennik'!P4:P53,"&lt;0")</f>
      </c>
    </row>
    <row r="8" ht="22" customHeight="1" spans="1:2" x14ac:dyDescent="0.25">
      <c r="A8" s="13" t="s">
        <v>36</v>
      </c>
      <c r="B8" s="15">
        <f>=IFERROR(COUNTIF('📋 Dziennik'!P4:P53,"&gt;0")/COUNTA('📋 Dziennik'!B4:B53),0)</f>
      </c>
    </row>
    <row r="9" ht="22" customHeight="1" spans="1:2" x14ac:dyDescent="0.25">
      <c r="A9" s="11" t="s">
        <v>37</v>
      </c>
      <c r="B9" s="16">
        <f>=IFERROR(AVERAGEIF('📋 Dziennik'!P4:P53,"&gt;0",'📋 Dziennik'!P4:P53),0)</f>
      </c>
    </row>
    <row r="10" ht="22" customHeight="1" spans="1:2" x14ac:dyDescent="0.25">
      <c r="A10" s="13" t="s">
        <v>38</v>
      </c>
      <c r="B10" s="17">
        <f>=IFERROR(AVERAGEIF('📋 Dziennik'!P4:P53,"&lt;0",'📋 Dziennik'!P4:P53),0)</f>
      </c>
    </row>
    <row r="11" ht="22" customHeight="1" spans="1:2" x14ac:dyDescent="0.25">
      <c r="A11" s="11" t="s">
        <v>39</v>
      </c>
      <c r="B11" s="16">
        <f>=IFERROR((COUNTIF('📋 Dziennik'!P4:P53,"&gt;0")/COUNTA('📋 Dziennik'!B4:B53))*AVERAGEIF('📋 Dziennik'!P4:P53,"&gt;0",'📋 Dziennik'!P4:P53)+(COUNTIF('📋 Dziennik'!P4:P53,"&lt;0")/COUNTA('📋 Dziennik'!B4:B53))*AVERAGEIF('📋 Dziennik'!P4:P53,"&lt;0",'📋 Dziennik'!P4:P53),0)</f>
      </c>
    </row>
    <row r="12" ht="22" customHeight="1" spans="1:2" x14ac:dyDescent="0.25">
      <c r="A12" s="13" t="s">
        <v>40</v>
      </c>
      <c r="B12" s="17">
        <f>=IFERROR(SUMIF('📋 Dziennik'!P4:P53,"&lt;&gt;-",'📋 Dziennik'!P4:P53),0)</f>
      </c>
    </row>
    <row r="13" ht="22" customHeight="1" spans="1:2" x14ac:dyDescent="0.25">
      <c r="A13" s="11" t="s">
        <v>41</v>
      </c>
      <c r="B13" s="18">
        <f>=IFERROR(SUM('📋 Dziennik'!Q4:Q53),0)</f>
      </c>
    </row>
    <row r="14" ht="22" customHeight="1" spans="1:2" x14ac:dyDescent="0.25">
      <c r="A14" s="13" t="s">
        <v>42</v>
      </c>
      <c r="B14" s="17">
        <f>=IFERROR(MAX('📋 Dziennik'!P4:P53),0)</f>
      </c>
    </row>
    <row r="15" ht="22" customHeight="1" spans="1:2" x14ac:dyDescent="0.25">
      <c r="A15" s="11" t="s">
        <v>43</v>
      </c>
      <c r="B15" s="16">
        <f>=IFERROR(MIN('📋 Dziennik'!P4:P53),0)</f>
      </c>
    </row>
    <row r="16" ht="22" customHeight="1" spans="1:2" x14ac:dyDescent="0.25">
      <c r="A16" s="13" t="s">
        <v>44</v>
      </c>
      <c r="B16" s="15">
        <f>=IFERROR(COUNTIF('📋 Dziennik'!R4:R53,"✅ Tak")/COUNTA('📋 Dziennik'!B4:B53),0)</f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60A"/>
  </sheetPr>
  <dimension ref="A1:G5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0" customWidth="1"/>
    <col min="5" max="6" width="12" customWidth="1"/>
    <col min="7" max="7" width="35" customWidth="1"/>
  </cols>
  <sheetData>
    <row r="1" ht="30" customHeight="1" spans="1:7" x14ac:dyDescent="0.25">
      <c r="A1" s="10" t="s">
        <v>45</v>
      </c>
      <c r="B1" s="10"/>
      <c r="C1" s="10"/>
      <c r="D1" s="10"/>
      <c r="E1" s="10"/>
      <c r="F1" s="10"/>
      <c r="G1" s="10"/>
    </row>
    <row r="2" ht="22" customHeight="1" spans="1:7" x14ac:dyDescent="0.25">
      <c r="A2" s="3" t="s">
        <v>46</v>
      </c>
      <c r="B2" s="3" t="s">
        <v>47</v>
      </c>
      <c r="C2" s="3" t="s">
        <v>36</v>
      </c>
      <c r="D2" s="3" t="s">
        <v>23</v>
      </c>
      <c r="E2" s="3" t="s">
        <v>24</v>
      </c>
      <c r="F2" s="3" t="s">
        <v>48</v>
      </c>
      <c r="G2" s="3" t="s">
        <v>49</v>
      </c>
    </row>
    <row r="3" ht="20" customHeight="1" spans="1:7" x14ac:dyDescent="0.25">
      <c r="A3" s="8"/>
      <c r="B3" s="8"/>
      <c r="C3" s="19"/>
      <c r="D3" s="20"/>
      <c r="E3" s="21"/>
      <c r="F3" s="19"/>
      <c r="G3" s="9"/>
    </row>
    <row r="4" ht="20" customHeight="1" spans="1:7" x14ac:dyDescent="0.25">
      <c r="A4" s="5"/>
      <c r="B4" s="5"/>
      <c r="C4" s="22"/>
      <c r="D4" s="23"/>
      <c r="E4" s="24"/>
      <c r="F4" s="22"/>
      <c r="G4" s="6"/>
    </row>
    <row r="5" ht="20" customHeight="1" spans="1:7" x14ac:dyDescent="0.25">
      <c r="A5" s="8"/>
      <c r="B5" s="8"/>
      <c r="C5" s="19"/>
      <c r="D5" s="20"/>
      <c r="E5" s="21"/>
      <c r="F5" s="19"/>
      <c r="G5" s="9"/>
    </row>
    <row r="6" ht="20" customHeight="1" spans="1:7" x14ac:dyDescent="0.25">
      <c r="A6" s="5"/>
      <c r="B6" s="5"/>
      <c r="C6" s="22"/>
      <c r="D6" s="23"/>
      <c r="E6" s="24"/>
      <c r="F6" s="22"/>
      <c r="G6" s="6"/>
    </row>
    <row r="7" ht="20" customHeight="1" spans="1:7" x14ac:dyDescent="0.25">
      <c r="A7" s="8"/>
      <c r="B7" s="8"/>
      <c r="C7" s="19"/>
      <c r="D7" s="20"/>
      <c r="E7" s="21"/>
      <c r="F7" s="19"/>
      <c r="G7" s="9"/>
    </row>
    <row r="8" ht="20" customHeight="1" spans="1:7" x14ac:dyDescent="0.25">
      <c r="A8" s="5"/>
      <c r="B8" s="5"/>
      <c r="C8" s="22"/>
      <c r="D8" s="23"/>
      <c r="E8" s="24"/>
      <c r="F8" s="22"/>
      <c r="G8" s="6"/>
    </row>
    <row r="9" ht="20" customHeight="1" spans="1:7" x14ac:dyDescent="0.25">
      <c r="A9" s="8"/>
      <c r="B9" s="8"/>
      <c r="C9" s="19"/>
      <c r="D9" s="20"/>
      <c r="E9" s="21"/>
      <c r="F9" s="19"/>
      <c r="G9" s="9"/>
    </row>
    <row r="10" ht="20" customHeight="1" spans="1:7" x14ac:dyDescent="0.25">
      <c r="A10" s="5"/>
      <c r="B10" s="5"/>
      <c r="C10" s="22"/>
      <c r="D10" s="23"/>
      <c r="E10" s="24"/>
      <c r="F10" s="22"/>
      <c r="G10" s="6"/>
    </row>
    <row r="11" ht="20" customHeight="1" spans="1:7" x14ac:dyDescent="0.25">
      <c r="A11" s="8"/>
      <c r="B11" s="8"/>
      <c r="C11" s="19"/>
      <c r="D11" s="20"/>
      <c r="E11" s="21"/>
      <c r="F11" s="19"/>
      <c r="G11" s="9"/>
    </row>
    <row r="12" ht="20" customHeight="1" spans="1:7" x14ac:dyDescent="0.25">
      <c r="A12" s="5"/>
      <c r="B12" s="5"/>
      <c r="C12" s="22"/>
      <c r="D12" s="23"/>
      <c r="E12" s="24"/>
      <c r="F12" s="22"/>
      <c r="G12" s="6"/>
    </row>
    <row r="13" ht="20" customHeight="1" spans="1:7" x14ac:dyDescent="0.25">
      <c r="A13" s="8"/>
      <c r="B13" s="8"/>
      <c r="C13" s="19"/>
      <c r="D13" s="20"/>
      <c r="E13" s="21"/>
      <c r="F13" s="19"/>
      <c r="G13" s="9"/>
    </row>
    <row r="14" ht="20" customHeight="1" spans="1:7" x14ac:dyDescent="0.25">
      <c r="A14" s="5"/>
      <c r="B14" s="5"/>
      <c r="C14" s="22"/>
      <c r="D14" s="23"/>
      <c r="E14" s="24"/>
      <c r="F14" s="22"/>
      <c r="G14" s="6"/>
    </row>
    <row r="15" ht="20" customHeight="1" spans="1:7" x14ac:dyDescent="0.25">
      <c r="A15" s="8"/>
      <c r="B15" s="8"/>
      <c r="C15" s="19"/>
      <c r="D15" s="20"/>
      <c r="E15" s="21"/>
      <c r="F15" s="19"/>
      <c r="G15" s="9"/>
    </row>
    <row r="16" ht="20" customHeight="1" spans="1:7" x14ac:dyDescent="0.25">
      <c r="A16" s="5"/>
      <c r="B16" s="5"/>
      <c r="C16" s="22"/>
      <c r="D16" s="23"/>
      <c r="E16" s="24"/>
      <c r="F16" s="22"/>
      <c r="G16" s="6"/>
    </row>
    <row r="17" ht="20" customHeight="1" spans="1:7" x14ac:dyDescent="0.25">
      <c r="A17" s="8"/>
      <c r="B17" s="8"/>
      <c r="C17" s="19"/>
      <c r="D17" s="20"/>
      <c r="E17" s="21"/>
      <c r="F17" s="19"/>
      <c r="G17" s="9"/>
    </row>
    <row r="18" ht="20" customHeight="1" spans="1:7" x14ac:dyDescent="0.25">
      <c r="A18" s="5"/>
      <c r="B18" s="5"/>
      <c r="C18" s="22"/>
      <c r="D18" s="23"/>
      <c r="E18" s="24"/>
      <c r="F18" s="22"/>
      <c r="G18" s="6"/>
    </row>
    <row r="19" ht="20" customHeight="1" spans="1:7" x14ac:dyDescent="0.25">
      <c r="A19" s="8"/>
      <c r="B19" s="8"/>
      <c r="C19" s="19"/>
      <c r="D19" s="20"/>
      <c r="E19" s="21"/>
      <c r="F19" s="19"/>
      <c r="G19" s="9"/>
    </row>
    <row r="20" ht="20" customHeight="1" spans="1:7" x14ac:dyDescent="0.25">
      <c r="A20" s="5"/>
      <c r="B20" s="5"/>
      <c r="C20" s="22"/>
      <c r="D20" s="23"/>
      <c r="E20" s="24"/>
      <c r="F20" s="22"/>
      <c r="G20" s="6"/>
    </row>
    <row r="21" ht="20" customHeight="1" spans="1:7" x14ac:dyDescent="0.25">
      <c r="A21" s="8"/>
      <c r="B21" s="8"/>
      <c r="C21" s="19"/>
      <c r="D21" s="20"/>
      <c r="E21" s="21"/>
      <c r="F21" s="19"/>
      <c r="G21" s="9"/>
    </row>
    <row r="22" ht="20" customHeight="1" spans="1:7" x14ac:dyDescent="0.25">
      <c r="A22" s="5"/>
      <c r="B22" s="5"/>
      <c r="C22" s="22"/>
      <c r="D22" s="23"/>
      <c r="E22" s="24"/>
      <c r="F22" s="22"/>
      <c r="G22" s="6"/>
    </row>
    <row r="23" ht="20" customHeight="1" spans="1:7" x14ac:dyDescent="0.25">
      <c r="A23" s="8"/>
      <c r="B23" s="8"/>
      <c r="C23" s="19"/>
      <c r="D23" s="20"/>
      <c r="E23" s="21"/>
      <c r="F23" s="19"/>
      <c r="G23" s="9"/>
    </row>
    <row r="24" ht="20" customHeight="1" spans="1:7" x14ac:dyDescent="0.25">
      <c r="A24" s="5"/>
      <c r="B24" s="5"/>
      <c r="C24" s="22"/>
      <c r="D24" s="23"/>
      <c r="E24" s="24"/>
      <c r="F24" s="22"/>
      <c r="G24" s="6"/>
    </row>
    <row r="25" ht="20" customHeight="1" spans="1:7" x14ac:dyDescent="0.25">
      <c r="A25" s="8"/>
      <c r="B25" s="8"/>
      <c r="C25" s="19"/>
      <c r="D25" s="20"/>
      <c r="E25" s="21"/>
      <c r="F25" s="19"/>
      <c r="G25" s="9"/>
    </row>
    <row r="26" ht="20" customHeight="1" spans="1:7" x14ac:dyDescent="0.25">
      <c r="A26" s="5"/>
      <c r="B26" s="5"/>
      <c r="C26" s="22"/>
      <c r="D26" s="23"/>
      <c r="E26" s="24"/>
      <c r="F26" s="22"/>
      <c r="G26" s="6"/>
    </row>
    <row r="27" ht="20" customHeight="1" spans="1:7" x14ac:dyDescent="0.25">
      <c r="A27" s="8"/>
      <c r="B27" s="8"/>
      <c r="C27" s="19"/>
      <c r="D27" s="20"/>
      <c r="E27" s="21"/>
      <c r="F27" s="19"/>
      <c r="G27" s="9"/>
    </row>
    <row r="28" ht="20" customHeight="1" spans="1:7" x14ac:dyDescent="0.25">
      <c r="A28" s="5"/>
      <c r="B28" s="5"/>
      <c r="C28" s="22"/>
      <c r="D28" s="23"/>
      <c r="E28" s="24"/>
      <c r="F28" s="22"/>
      <c r="G28" s="6"/>
    </row>
    <row r="29" ht="20" customHeight="1" spans="1:7" x14ac:dyDescent="0.25">
      <c r="A29" s="8"/>
      <c r="B29" s="8"/>
      <c r="C29" s="19"/>
      <c r="D29" s="20"/>
      <c r="E29" s="21"/>
      <c r="F29" s="19"/>
      <c r="G29" s="9"/>
    </row>
    <row r="30" ht="20" customHeight="1" spans="1:7" x14ac:dyDescent="0.25">
      <c r="A30" s="5"/>
      <c r="B30" s="5"/>
      <c r="C30" s="22"/>
      <c r="D30" s="23"/>
      <c r="E30" s="24"/>
      <c r="F30" s="22"/>
      <c r="G30" s="6"/>
    </row>
    <row r="31" ht="20" customHeight="1" spans="1:7" x14ac:dyDescent="0.25">
      <c r="A31" s="8"/>
      <c r="B31" s="8"/>
      <c r="C31" s="19"/>
      <c r="D31" s="20"/>
      <c r="E31" s="21"/>
      <c r="F31" s="19"/>
      <c r="G31" s="9"/>
    </row>
    <row r="32" ht="20" customHeight="1" spans="1:7" x14ac:dyDescent="0.25">
      <c r="A32" s="5"/>
      <c r="B32" s="5"/>
      <c r="C32" s="22"/>
      <c r="D32" s="23"/>
      <c r="E32" s="24"/>
      <c r="F32" s="22"/>
      <c r="G32" s="6"/>
    </row>
    <row r="33" ht="20" customHeight="1" spans="1:7" x14ac:dyDescent="0.25">
      <c r="A33" s="8"/>
      <c r="B33" s="8"/>
      <c r="C33" s="19"/>
      <c r="D33" s="20"/>
      <c r="E33" s="21"/>
      <c r="F33" s="19"/>
      <c r="G33" s="9"/>
    </row>
    <row r="34" ht="20" customHeight="1" spans="1:7" x14ac:dyDescent="0.25">
      <c r="A34" s="5"/>
      <c r="B34" s="5"/>
      <c r="C34" s="22"/>
      <c r="D34" s="23"/>
      <c r="E34" s="24"/>
      <c r="F34" s="22"/>
      <c r="G34" s="6"/>
    </row>
    <row r="35" ht="20" customHeight="1" spans="1:7" x14ac:dyDescent="0.25">
      <c r="A35" s="8"/>
      <c r="B35" s="8"/>
      <c r="C35" s="19"/>
      <c r="D35" s="20"/>
      <c r="E35" s="21"/>
      <c r="F35" s="19"/>
      <c r="G35" s="9"/>
    </row>
    <row r="36" ht="20" customHeight="1" spans="1:7" x14ac:dyDescent="0.25">
      <c r="A36" s="5"/>
      <c r="B36" s="5"/>
      <c r="C36" s="22"/>
      <c r="D36" s="23"/>
      <c r="E36" s="24"/>
      <c r="F36" s="22"/>
      <c r="G36" s="6"/>
    </row>
    <row r="37" ht="20" customHeight="1" spans="1:7" x14ac:dyDescent="0.25">
      <c r="A37" s="8"/>
      <c r="B37" s="8"/>
      <c r="C37" s="19"/>
      <c r="D37" s="20"/>
      <c r="E37" s="21"/>
      <c r="F37" s="19"/>
      <c r="G37" s="9"/>
    </row>
    <row r="38" ht="20" customHeight="1" spans="1:7" x14ac:dyDescent="0.25">
      <c r="A38" s="5"/>
      <c r="B38" s="5"/>
      <c r="C38" s="22"/>
      <c r="D38" s="23"/>
      <c r="E38" s="24"/>
      <c r="F38" s="22"/>
      <c r="G38" s="6"/>
    </row>
    <row r="39" ht="20" customHeight="1" spans="1:7" x14ac:dyDescent="0.25">
      <c r="A39" s="8"/>
      <c r="B39" s="8"/>
      <c r="C39" s="19"/>
      <c r="D39" s="20"/>
      <c r="E39" s="21"/>
      <c r="F39" s="19"/>
      <c r="G39" s="9"/>
    </row>
    <row r="40" ht="20" customHeight="1" spans="1:7" x14ac:dyDescent="0.25">
      <c r="A40" s="5"/>
      <c r="B40" s="5"/>
      <c r="C40" s="22"/>
      <c r="D40" s="23"/>
      <c r="E40" s="24"/>
      <c r="F40" s="22"/>
      <c r="G40" s="6"/>
    </row>
    <row r="41" ht="20" customHeight="1" spans="1:7" x14ac:dyDescent="0.25">
      <c r="A41" s="8"/>
      <c r="B41" s="8"/>
      <c r="C41" s="19"/>
      <c r="D41" s="20"/>
      <c r="E41" s="21"/>
      <c r="F41" s="19"/>
      <c r="G41" s="9"/>
    </row>
    <row r="42" ht="20" customHeight="1" spans="1:7" x14ac:dyDescent="0.25">
      <c r="A42" s="5"/>
      <c r="B42" s="5"/>
      <c r="C42" s="22"/>
      <c r="D42" s="23"/>
      <c r="E42" s="24"/>
      <c r="F42" s="22"/>
      <c r="G42" s="6"/>
    </row>
    <row r="43" ht="20" customHeight="1" spans="1:7" x14ac:dyDescent="0.25">
      <c r="A43" s="8"/>
      <c r="B43" s="8"/>
      <c r="C43" s="19"/>
      <c r="D43" s="20"/>
      <c r="E43" s="21"/>
      <c r="F43" s="19"/>
      <c r="G43" s="9"/>
    </row>
    <row r="44" ht="20" customHeight="1" spans="1:7" x14ac:dyDescent="0.25">
      <c r="A44" s="5"/>
      <c r="B44" s="5"/>
      <c r="C44" s="22"/>
      <c r="D44" s="23"/>
      <c r="E44" s="24"/>
      <c r="F44" s="22"/>
      <c r="G44" s="6"/>
    </row>
    <row r="45" ht="20" customHeight="1" spans="1:7" x14ac:dyDescent="0.25">
      <c r="A45" s="8"/>
      <c r="B45" s="8"/>
      <c r="C45" s="19"/>
      <c r="D45" s="20"/>
      <c r="E45" s="21"/>
      <c r="F45" s="19"/>
      <c r="G45" s="9"/>
    </row>
    <row r="46" ht="20" customHeight="1" spans="1:7" x14ac:dyDescent="0.25">
      <c r="A46" s="5"/>
      <c r="B46" s="5"/>
      <c r="C46" s="22"/>
      <c r="D46" s="23"/>
      <c r="E46" s="24"/>
      <c r="F46" s="22"/>
      <c r="G46" s="6"/>
    </row>
    <row r="47" ht="20" customHeight="1" spans="1:7" x14ac:dyDescent="0.25">
      <c r="A47" s="8"/>
      <c r="B47" s="8"/>
      <c r="C47" s="19"/>
      <c r="D47" s="20"/>
      <c r="E47" s="21"/>
      <c r="F47" s="19"/>
      <c r="G47" s="9"/>
    </row>
    <row r="48" ht="20" customHeight="1" spans="1:7" x14ac:dyDescent="0.25">
      <c r="A48" s="5"/>
      <c r="B48" s="5"/>
      <c r="C48" s="22"/>
      <c r="D48" s="23"/>
      <c r="E48" s="24"/>
      <c r="F48" s="22"/>
      <c r="G48" s="6"/>
    </row>
    <row r="49" ht="20" customHeight="1" spans="1:7" x14ac:dyDescent="0.25">
      <c r="A49" s="8"/>
      <c r="B49" s="8"/>
      <c r="C49" s="19"/>
      <c r="D49" s="20"/>
      <c r="E49" s="21"/>
      <c r="F49" s="19"/>
      <c r="G49" s="9"/>
    </row>
    <row r="50" ht="20" customHeight="1" spans="1:7" x14ac:dyDescent="0.25">
      <c r="A50" s="5"/>
      <c r="B50" s="5"/>
      <c r="C50" s="22"/>
      <c r="D50" s="23"/>
      <c r="E50" s="24"/>
      <c r="F50" s="22"/>
      <c r="G50" s="6"/>
    </row>
    <row r="51" ht="20" customHeight="1" spans="1:7" x14ac:dyDescent="0.25">
      <c r="A51" s="8"/>
      <c r="B51" s="8"/>
      <c r="C51" s="19"/>
      <c r="D51" s="20"/>
      <c r="E51" s="21"/>
      <c r="F51" s="19"/>
      <c r="G51" s="9"/>
    </row>
    <row r="52" ht="20" customHeight="1" spans="1:7" x14ac:dyDescent="0.25">
      <c r="A52" s="5"/>
      <c r="B52" s="5"/>
      <c r="C52" s="22"/>
      <c r="D52" s="23"/>
      <c r="E52" s="24"/>
      <c r="F52" s="22"/>
      <c r="G52" s="6"/>
    </row>
    <row r="53" ht="20" customHeight="1" spans="1:7" x14ac:dyDescent="0.25">
      <c r="A53" s="8"/>
      <c r="B53" s="8"/>
      <c r="C53" s="19"/>
      <c r="D53" s="20"/>
      <c r="E53" s="21"/>
      <c r="F53" s="19"/>
      <c r="G53" s="9"/>
    </row>
    <row r="54" ht="20" customHeight="1" spans="1:7" x14ac:dyDescent="0.25">
      <c r="A54" s="5"/>
      <c r="B54" s="5"/>
      <c r="C54" s="22"/>
      <c r="D54" s="23"/>
      <c r="E54" s="24"/>
      <c r="F54" s="22"/>
      <c r="G54" s="6"/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F3460"/>
  </sheetPr>
  <dimension ref="A1:G10"/>
  <sheetViews>
    <sheetView workbookViewId="0" showGridLines="0"/>
  </sheetViews>
  <sheetFormatPr defaultRowHeight="15" outlineLevelRow="0" outlineLevelCol="0" x14ac:dyDescent="55"/>
  <cols>
    <col min="1" max="1" width="20" customWidth="1"/>
    <col min="2" max="5" width="10" customWidth="1"/>
    <col min="6" max="6" width="12" customWidth="1"/>
    <col min="7" max="7" width="40" customWidth="1"/>
  </cols>
  <sheetData>
    <row r="1" ht="30" customHeight="1" spans="1:7" x14ac:dyDescent="0.25">
      <c r="A1" s="10" t="s">
        <v>50</v>
      </c>
      <c r="B1" s="10"/>
      <c r="C1" s="10"/>
      <c r="D1" s="10"/>
      <c r="E1" s="10"/>
      <c r="F1" s="10"/>
      <c r="G1" s="10"/>
    </row>
    <row r="2" ht="22" customHeight="1" spans="1:7" x14ac:dyDescent="0.25">
      <c r="A2" s="3" t="s">
        <v>51</v>
      </c>
      <c r="B2" s="3" t="s">
        <v>47</v>
      </c>
      <c r="C2" s="3" t="s">
        <v>52</v>
      </c>
      <c r="D2" s="3" t="s">
        <v>36</v>
      </c>
      <c r="E2" s="3" t="s">
        <v>53</v>
      </c>
      <c r="F2" s="3" t="s">
        <v>54</v>
      </c>
      <c r="G2" s="3" t="s">
        <v>55</v>
      </c>
    </row>
    <row r="3" ht="22" customHeight="1" spans="1:7" x14ac:dyDescent="0.25">
      <c r="A3" s="25" t="s">
        <v>56</v>
      </c>
      <c r="B3" s="5">
        <f>=COUNTIF('📋 Dziennik'!G4:G53,A3)</f>
      </c>
      <c r="C3" s="5">
        <f>=COUNTIFS('📋 Dziennik'!G4:G53,A3,'📋 Dziennik'!P4:P53,"&gt;0")</f>
      </c>
      <c r="D3" s="22">
        <f>=IFERROR(C3/B3,0)</f>
      </c>
      <c r="E3" s="23">
        <f>=IFERROR(AVERAGEIFS('📋 Dziennik'!P4:P53,'📋 Dziennik'!G4:G53,A3),0)</f>
      </c>
      <c r="F3" s="23">
        <f>=IFERROR(D3*E3+(1-D3)*AVERAGEIFS('📋 Dziennik'!P4:P53,'📋 Dziennik'!G4:G53,A3,'📋 Dziennik'!P4:P53,"&lt;0"),0)</f>
      </c>
      <c r="G3" s="6"/>
    </row>
    <row r="4" ht="22" customHeight="1" spans="1:7" x14ac:dyDescent="0.25">
      <c r="A4" s="26" t="s">
        <v>57</v>
      </c>
      <c r="B4" s="8">
        <f>=COUNTIF('📋 Dziennik'!G4:G53,A4)</f>
      </c>
      <c r="C4" s="8">
        <f>=COUNTIFS('📋 Dziennik'!G4:G53,A4,'📋 Dziennik'!P4:P53,"&gt;0")</f>
      </c>
      <c r="D4" s="19">
        <f>=IFERROR(C4/B4,0)</f>
      </c>
      <c r="E4" s="20">
        <f>=IFERROR(AVERAGEIFS('📋 Dziennik'!P4:P53,'📋 Dziennik'!G4:G53,A4),0)</f>
      </c>
      <c r="F4" s="20">
        <f>=IFERROR(D4*E4+(1-D4)*AVERAGEIFS('📋 Dziennik'!P4:P53,'📋 Dziennik'!G4:G53,A4,'📋 Dziennik'!P4:P53,"&lt;0"),0)</f>
      </c>
      <c r="G4" s="9"/>
    </row>
    <row r="5" ht="22" customHeight="1" spans="1:7" x14ac:dyDescent="0.25">
      <c r="A5" s="25" t="s">
        <v>58</v>
      </c>
      <c r="B5" s="5">
        <f>=COUNTIF('📋 Dziennik'!G4:G53,A5)</f>
      </c>
      <c r="C5" s="5">
        <f>=COUNTIFS('📋 Dziennik'!G4:G53,A5,'📋 Dziennik'!P4:P53,"&gt;0")</f>
      </c>
      <c r="D5" s="22">
        <f>=IFERROR(C5/B5,0)</f>
      </c>
      <c r="E5" s="23">
        <f>=IFERROR(AVERAGEIFS('📋 Dziennik'!P4:P53,'📋 Dziennik'!G4:G53,A5),0)</f>
      </c>
      <c r="F5" s="23">
        <f>=IFERROR(D5*E5+(1-D5)*AVERAGEIFS('📋 Dziennik'!P4:P53,'📋 Dziennik'!G4:G53,A5,'📋 Dziennik'!P4:P53,"&lt;0"),0)</f>
      </c>
      <c r="G5" s="6"/>
    </row>
    <row r="6" ht="22" customHeight="1" spans="1:7" x14ac:dyDescent="0.25">
      <c r="A6" s="26" t="s">
        <v>59</v>
      </c>
      <c r="B6" s="8">
        <f>=COUNTIF('📋 Dziennik'!G4:G53,A6)</f>
      </c>
      <c r="C6" s="8">
        <f>=COUNTIFS('📋 Dziennik'!G4:G53,A6,'📋 Dziennik'!P4:P53,"&gt;0")</f>
      </c>
      <c r="D6" s="19">
        <f>=IFERROR(C6/B6,0)</f>
      </c>
      <c r="E6" s="20">
        <f>=IFERROR(AVERAGEIFS('📋 Dziennik'!P4:P53,'📋 Dziennik'!G4:G53,A6),0)</f>
      </c>
      <c r="F6" s="20">
        <f>=IFERROR(D6*E6+(1-D6)*AVERAGEIFS('📋 Dziennik'!P4:P53,'📋 Dziennik'!G4:G53,A6,'📋 Dziennik'!P4:P53,"&lt;0"),0)</f>
      </c>
      <c r="G6" s="9"/>
    </row>
    <row r="7" ht="22" customHeight="1" spans="1:7" x14ac:dyDescent="0.25">
      <c r="A7" s="25" t="s">
        <v>60</v>
      </c>
      <c r="B7" s="5">
        <f>=COUNTIF('📋 Dziennik'!G4:G53,A7)</f>
      </c>
      <c r="C7" s="5">
        <f>=COUNTIFS('📋 Dziennik'!G4:G53,A7,'📋 Dziennik'!P4:P53,"&gt;0")</f>
      </c>
      <c r="D7" s="22">
        <f>=IFERROR(C7/B7,0)</f>
      </c>
      <c r="E7" s="23">
        <f>=IFERROR(AVERAGEIFS('📋 Dziennik'!P4:P53,'📋 Dziennik'!G4:G53,A7),0)</f>
      </c>
      <c r="F7" s="23">
        <f>=IFERROR(D7*E7+(1-D7)*AVERAGEIFS('📋 Dziennik'!P4:P53,'📋 Dziennik'!G4:G53,A7,'📋 Dziennik'!P4:P53,"&lt;0"),0)</f>
      </c>
      <c r="G7" s="6"/>
    </row>
    <row r="8" ht="22" customHeight="1" spans="1:7" x14ac:dyDescent="0.25">
      <c r="A8" s="26" t="s">
        <v>61</v>
      </c>
      <c r="B8" s="8">
        <f>=COUNTIF('📋 Dziennik'!G4:G53,A8)</f>
      </c>
      <c r="C8" s="8">
        <f>=COUNTIFS('📋 Dziennik'!G4:G53,A8,'📋 Dziennik'!P4:P53,"&gt;0")</f>
      </c>
      <c r="D8" s="19">
        <f>=IFERROR(C8/B8,0)</f>
      </c>
      <c r="E8" s="20">
        <f>=IFERROR(AVERAGEIFS('📋 Dziennik'!P4:P53,'📋 Dziennik'!G4:G53,A8),0)</f>
      </c>
      <c r="F8" s="20">
        <f>=IFERROR(D8*E8+(1-D8)*AVERAGEIFS('📋 Dziennik'!P4:P53,'📋 Dziennik'!G4:G53,A8,'📋 Dziennik'!P4:P53,"&lt;0"),0)</f>
      </c>
      <c r="G8" s="9"/>
    </row>
    <row r="9" ht="22" customHeight="1" spans="1:7" x14ac:dyDescent="0.25">
      <c r="A9" s="25" t="s">
        <v>62</v>
      </c>
      <c r="B9" s="5">
        <f>=COUNTIF('📋 Dziennik'!G4:G53,A9)</f>
      </c>
      <c r="C9" s="5">
        <f>=COUNTIFS('📋 Dziennik'!G4:G53,A9,'📋 Dziennik'!P4:P53,"&gt;0")</f>
      </c>
      <c r="D9" s="22">
        <f>=IFERROR(C9/B9,0)</f>
      </c>
      <c r="E9" s="23">
        <f>=IFERROR(AVERAGEIFS('📋 Dziennik'!P4:P53,'📋 Dziennik'!G4:G53,A9),0)</f>
      </c>
      <c r="F9" s="23">
        <f>=IFERROR(D9*E9+(1-D9)*AVERAGEIFS('📋 Dziennik'!P4:P53,'📋 Dziennik'!G4:G53,A9,'📋 Dziennik'!P4:P53,"&lt;0"),0)</f>
      </c>
      <c r="G9" s="6"/>
    </row>
    <row r="10" ht="22" customHeight="1" spans="1:7" x14ac:dyDescent="0.25">
      <c r="A10" s="26" t="s">
        <v>63</v>
      </c>
      <c r="B10" s="8">
        <f>=COUNTIF('📋 Dziennik'!G4:G53,A10)</f>
      </c>
      <c r="C10" s="8">
        <f>=COUNTIFS('📋 Dziennik'!G4:G53,A10,'📋 Dziennik'!P4:P53,"&gt;0")</f>
      </c>
      <c r="D10" s="19">
        <f>=IFERROR(C10/B10,0)</f>
      </c>
      <c r="E10" s="20">
        <f>=IFERROR(AVERAGEIFS('📋 Dziennik'!P4:P53,'📋 Dziennik'!G4:G53,A10),0)</f>
      </c>
      <c r="F10" s="20">
        <f>=IFERROR(D10*E10+(1-D10)*AVERAGEIFS('📋 Dziennik'!P4:P53,'📋 Dziennik'!G4:G53,A10,'📋 Dziennik'!P4:P53,"&lt;0"),0)</f>
      </c>
      <c r="G10" s="9"/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Dziennik</vt:lpstr>
      <vt:lpstr>📈 Statystyki</vt:lpstr>
      <vt:lpstr>📅 Tygodnik</vt:lpstr>
      <vt:lpstr>📝 Setupy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TradingView MCP</dc:creator>
  <dc:title/>
  <dc:subject/>
  <dc:description/>
  <cp:keywords/>
  <cp:category/>
  <cp:lastModifiedBy>Unknown</cp:lastModifiedBy>
  <dcterms:created xsi:type="dcterms:W3CDTF">2026-06-23T11:37:29Z</dcterms:created>
  <dcterms:modified xsi:type="dcterms:W3CDTF">2026-06-23T11:37:29Z</dcterms:modified>
</cp:coreProperties>
</file>